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ay/Documents/GitHub/influenza_H3N2_k_clade/data/"/>
    </mc:Choice>
  </mc:AlternateContent>
  <xr:revisionPtr revIDLastSave="0" documentId="13_ncr:1_{6B1B9995-7998-654A-9820-A149E8734495}" xr6:coauthVersionLast="47" xr6:coauthVersionMax="47" xr10:uidLastSave="{00000000-0000-0000-0000-000000000000}"/>
  <bookViews>
    <workbookView xWindow="25680" yWindow="660" windowWidth="25360" windowHeight="26520" xr2:uid="{E069775A-4903-6B49-B007-D01FB2545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B57" i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55" i="1"/>
</calcChain>
</file>

<file path=xl/sharedStrings.xml><?xml version="1.0" encoding="utf-8"?>
<sst xmlns="http://schemas.openxmlformats.org/spreadsheetml/2006/main" count="425" uniqueCount="157">
  <si>
    <t>Date</t>
  </si>
  <si>
    <t>Week number</t>
  </si>
  <si>
    <t>Up to 5 years</t>
  </si>
  <si>
    <t>5 to 14 years</t>
  </si>
  <si>
    <t>15 to 44 years</t>
  </si>
  <si>
    <t>45 to 64 years</t>
  </si>
  <si>
    <t>65 to 79 years</t>
  </si>
  <si>
    <t>80 years and above</t>
  </si>
  <si>
    <t>2.2</t>
  </si>
  <si>
    <t>8.2</t>
  </si>
  <si>
    <t>4.2</t>
  </si>
  <si>
    <t>3.1</t>
  </si>
  <si>
    <t>1.7</t>
  </si>
  <si>
    <t>2.0</t>
  </si>
  <si>
    <t>4.5</t>
  </si>
  <si>
    <t>10.2</t>
  </si>
  <si>
    <t>6.5</t>
  </si>
  <si>
    <t>3.9</t>
  </si>
  <si>
    <t>2.8</t>
  </si>
  <si>
    <t>3.0</t>
  </si>
  <si>
    <t>6.3</t>
  </si>
  <si>
    <t>11.0</t>
  </si>
  <si>
    <t>10.9</t>
  </si>
  <si>
    <t>7.8</t>
  </si>
  <si>
    <t>5.3</t>
  </si>
  <si>
    <t>4.7</t>
  </si>
  <si>
    <t>7.9</t>
  </si>
  <si>
    <t>18.1</t>
  </si>
  <si>
    <t>15.1</t>
  </si>
  <si>
    <t>11.8</t>
  </si>
  <si>
    <t>7.5</t>
  </si>
  <si>
    <t>8.8</t>
  </si>
  <si>
    <t>12.6</t>
  </si>
  <si>
    <t>23.0</t>
  </si>
  <si>
    <t>20.0</t>
  </si>
  <si>
    <t>16.5</t>
  </si>
  <si>
    <t>12.1</t>
  </si>
  <si>
    <t>18.5</t>
  </si>
  <si>
    <t>28.8</t>
  </si>
  <si>
    <t>25.7</t>
  </si>
  <si>
    <t>20.6</t>
  </si>
  <si>
    <t>13.2</t>
  </si>
  <si>
    <t>15.7</t>
  </si>
  <si>
    <t>25.0</t>
  </si>
  <si>
    <t>32.6</t>
  </si>
  <si>
    <t>29.6</t>
  </si>
  <si>
    <t>22.5</t>
  </si>
  <si>
    <t>17.9</t>
  </si>
  <si>
    <t>16.1</t>
  </si>
  <si>
    <t>28.9</t>
  </si>
  <si>
    <t>37.2</t>
  </si>
  <si>
    <t>35.8</t>
  </si>
  <si>
    <t>28.1</t>
  </si>
  <si>
    <t>21.4</t>
  </si>
  <si>
    <t>23.6</t>
  </si>
  <si>
    <t>30.3</t>
  </si>
  <si>
    <t>24.6</t>
  </si>
  <si>
    <t>20.1</t>
  </si>
  <si>
    <t>20.3</t>
  </si>
  <si>
    <t>19.2</t>
  </si>
  <si>
    <t>25.6</t>
  </si>
  <si>
    <t>20.2</t>
  </si>
  <si>
    <t>19.9</t>
  </si>
  <si>
    <t>15.5</t>
  </si>
  <si>
    <t>16.2</t>
  </si>
  <si>
    <t>22.6</t>
  </si>
  <si>
    <t>14.5</t>
  </si>
  <si>
    <t>11.4</t>
  </si>
  <si>
    <t>18.6</t>
  </si>
  <si>
    <t>22.1</t>
  </si>
  <si>
    <t>21.6</t>
  </si>
  <si>
    <t>9.9</t>
  </si>
  <si>
    <t>10.4</t>
  </si>
  <si>
    <t>16.6</t>
  </si>
  <si>
    <t>25.3</t>
  </si>
  <si>
    <t>11.5</t>
  </si>
  <si>
    <t>9.2</t>
  </si>
  <si>
    <t>8.6</t>
  </si>
  <si>
    <t>12.5</t>
  </si>
  <si>
    <t>10.8</t>
  </si>
  <si>
    <t>6.4</t>
  </si>
  <si>
    <t>7.6</t>
  </si>
  <si>
    <t>12.9</t>
  </si>
  <si>
    <t>16.7</t>
  </si>
  <si>
    <t>20.4</t>
  </si>
  <si>
    <t>5.9</t>
  </si>
  <si>
    <t>6.9</t>
  </si>
  <si>
    <t>9.6</t>
  </si>
  <si>
    <t>19.3</t>
  </si>
  <si>
    <t>22.8</t>
  </si>
  <si>
    <t>7.7</t>
  </si>
  <si>
    <t>5.2</t>
  </si>
  <si>
    <t>8.9</t>
  </si>
  <si>
    <t>19.8</t>
  </si>
  <si>
    <t>7.0</t>
  </si>
  <si>
    <t>6.0</t>
  </si>
  <si>
    <t>14.0</t>
  </si>
  <si>
    <t>4.1</t>
  </si>
  <si>
    <t>9.4</t>
  </si>
  <si>
    <t>12.8</t>
  </si>
  <si>
    <t>14.2</t>
  </si>
  <si>
    <t>5.5</t>
  </si>
  <si>
    <t>4.3</t>
  </si>
  <si>
    <t>10.6</t>
  </si>
  <si>
    <t>13.9</t>
  </si>
  <si>
    <t>4.6</t>
  </si>
  <si>
    <t>4.8</t>
  </si>
  <si>
    <t>14.1</t>
  </si>
  <si>
    <t>3.3</t>
  </si>
  <si>
    <t>4.0</t>
  </si>
  <si>
    <t>3.4</t>
  </si>
  <si>
    <t>3.6</t>
  </si>
  <si>
    <t>5.4</t>
  </si>
  <si>
    <t>2.9</t>
  </si>
  <si>
    <t>2.3</t>
  </si>
  <si>
    <t>2.7</t>
  </si>
  <si>
    <t>5.8</t>
  </si>
  <si>
    <t>2.4</t>
  </si>
  <si>
    <t>1.9</t>
  </si>
  <si>
    <t>2.1</t>
  </si>
  <si>
    <t>1.6</t>
  </si>
  <si>
    <t>1.1</t>
  </si>
  <si>
    <t>1.2</t>
  </si>
  <si>
    <t>2.6</t>
  </si>
  <si>
    <t>3.7</t>
  </si>
  <si>
    <t>0.9</t>
  </si>
  <si>
    <t>1.5</t>
  </si>
  <si>
    <t>1.4</t>
  </si>
  <si>
    <t>0.4</t>
  </si>
  <si>
    <t>2.5</t>
  </si>
  <si>
    <t>0.6</t>
  </si>
  <si>
    <t>0.5</t>
  </si>
  <si>
    <t>1.0</t>
  </si>
  <si>
    <t>0.8</t>
  </si>
  <si>
    <t>1.3</t>
  </si>
  <si>
    <t>0.2</t>
  </si>
  <si>
    <t>0.3</t>
  </si>
  <si>
    <t>0.7</t>
  </si>
  <si>
    <t>0.0</t>
  </si>
  <si>
    <t>1.8</t>
  </si>
  <si>
    <t>0.1</t>
  </si>
  <si>
    <t>7.2</t>
  </si>
  <si>
    <t>3.2</t>
  </si>
  <si>
    <t>4.9</t>
  </si>
  <si>
    <t>6.1</t>
  </si>
  <si>
    <t>10.5</t>
  </si>
  <si>
    <t>11.7</t>
  </si>
  <si>
    <t>8.0</t>
  </si>
  <si>
    <t>21.2</t>
  </si>
  <si>
    <t>30.2</t>
  </si>
  <si>
    <t>6.2</t>
  </si>
  <si>
    <t>15.3</t>
  </si>
  <si>
    <t>30.4</t>
  </si>
  <si>
    <t>18.4</t>
  </si>
  <si>
    <t>Season</t>
  </si>
  <si>
    <t>2025 to 2026</t>
  </si>
  <si>
    <t>2022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</si>
</sst>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&quot; &quot;mmmm&quot; &quot;yyyy"/>
    <numFmt numFmtId="166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66" fontId="4" fillId="2" borderId="1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0" fontId="0" fillId="0" borderId="0" xfId="0" applyBorder="1"/>
    <xf numFmtId="1" fontId="4" fillId="2" borderId="1" xfId="1" applyNumberFormat="1" applyFont="1" applyFill="1" applyBorder="1" applyAlignment="1">
      <alignment horizontal="center" vertical="center"/>
    </xf>
    <xf numFmtId="1" fontId="4" fillId="2" borderId="2" xfId="1" applyNumberFormat="1" applyFont="1" applyFill="1" applyBorder="1" applyAlignment="1">
      <alignment horizontal="center" vertical="center"/>
    </xf>
    <xf numFmtId="1" fontId="4" fillId="2" borderId="3" xfId="1" applyNumberFormat="1" applyFont="1" applyFill="1" applyBorder="1" applyAlignment="1">
      <alignment horizontal="center" vertical="center"/>
    </xf>
    <xf numFmtId="1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F77D8-067C-9C47-8D55-7AB8E3252221}" name="slide_11" displayName="slide_11" ref="B1:I105" totalsRowShown="0">
  <tableColumns count="8">
    <tableColumn id="1" xr3:uid="{979723ED-0606-614C-8D5C-28B096419CFA}" name="Date"/>
    <tableColumn id="2" xr3:uid="{EC0FD24B-7A39-0842-AA58-0CAFB11E12D3}" name="Week number"/>
    <tableColumn id="3" xr3:uid="{01FEC871-C14F-BC4D-B4DF-0BB1EDFAF12F}" name="Up to 5 years"/>
    <tableColumn id="4" xr3:uid="{D5E7533B-15DF-B549-B4C9-2BC1FE49AF85}" name="5 to 14 years"/>
    <tableColumn id="5" xr3:uid="{66E23940-F6E4-1E45-80AC-5150E35BEF36}" name="15 to 44 years"/>
    <tableColumn id="6" xr3:uid="{CE965C93-9B90-A14D-B0BD-630CC379B0D0}" name="45 to 64 years"/>
    <tableColumn id="7" xr3:uid="{D069AE8E-AAFA-5042-9954-6192AE20C36C}" name="65 to 79 years"/>
    <tableColumn id="8" xr3:uid="{2C63ECD3-8B7C-4C4A-AD6C-9E534516C93C}" name="80 years and abov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1ED9-9728-D64F-BC66-CC40DBA90E92}">
  <dimension ref="A1:I105"/>
  <sheetViews>
    <sheetView tabSelected="1" topLeftCell="A43" workbookViewId="0">
      <selection activeCell="B107" sqref="B107"/>
    </sheetView>
  </sheetViews>
  <sheetFormatPr baseColWidth="10" defaultRowHeight="16" x14ac:dyDescent="0.2"/>
  <cols>
    <col min="2" max="2" width="16.83203125" bestFit="1" customWidth="1"/>
  </cols>
  <sheetData>
    <row r="1" spans="1:9" ht="51" x14ac:dyDescent="0.2">
      <c r="A1" t="s">
        <v>154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7" x14ac:dyDescent="0.2">
      <c r="A2" t="s">
        <v>155</v>
      </c>
      <c r="B2" s="4">
        <v>45600</v>
      </c>
      <c r="C2" s="5">
        <v>45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</row>
    <row r="3" spans="1:9" ht="17" x14ac:dyDescent="0.2">
      <c r="A3" t="s">
        <v>155</v>
      </c>
      <c r="B3" s="4">
        <v>45607</v>
      </c>
      <c r="C3" s="5">
        <v>46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</row>
    <row r="4" spans="1:9" ht="17" x14ac:dyDescent="0.2">
      <c r="A4" t="s">
        <v>155</v>
      </c>
      <c r="B4" s="4">
        <v>45614</v>
      </c>
      <c r="C4" s="5">
        <v>47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</row>
    <row r="5" spans="1:9" ht="17" x14ac:dyDescent="0.2">
      <c r="A5" t="s">
        <v>155</v>
      </c>
      <c r="B5" s="4">
        <v>45621</v>
      </c>
      <c r="C5" s="5">
        <v>48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</row>
    <row r="6" spans="1:9" ht="17" x14ac:dyDescent="0.2">
      <c r="A6" t="s">
        <v>155</v>
      </c>
      <c r="B6" s="4">
        <v>45628</v>
      </c>
      <c r="C6" s="5">
        <v>49</v>
      </c>
      <c r="D6" s="6" t="s">
        <v>32</v>
      </c>
      <c r="E6" s="6" t="s">
        <v>33</v>
      </c>
      <c r="F6" s="6" t="s">
        <v>34</v>
      </c>
      <c r="G6" s="6" t="s">
        <v>35</v>
      </c>
      <c r="H6" s="6" t="s">
        <v>29</v>
      </c>
      <c r="I6" s="6" t="s">
        <v>36</v>
      </c>
    </row>
    <row r="7" spans="1:9" ht="17" x14ac:dyDescent="0.2">
      <c r="A7" t="s">
        <v>155</v>
      </c>
      <c r="B7" s="4">
        <v>45635</v>
      </c>
      <c r="C7" s="5">
        <v>50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  <c r="I7" s="6" t="s">
        <v>42</v>
      </c>
    </row>
    <row r="8" spans="1:9" ht="17" x14ac:dyDescent="0.2">
      <c r="A8" t="s">
        <v>155</v>
      </c>
      <c r="B8" s="4">
        <v>45642</v>
      </c>
      <c r="C8" s="5">
        <v>51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48</v>
      </c>
    </row>
    <row r="9" spans="1:9" ht="17" x14ac:dyDescent="0.2">
      <c r="A9" t="s">
        <v>155</v>
      </c>
      <c r="B9" s="4">
        <v>45649</v>
      </c>
      <c r="C9" s="5">
        <v>52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6" t="s">
        <v>54</v>
      </c>
    </row>
    <row r="10" spans="1:9" ht="17" x14ac:dyDescent="0.2">
      <c r="A10" t="s">
        <v>155</v>
      </c>
      <c r="B10" s="4">
        <v>45656</v>
      </c>
      <c r="C10" s="5">
        <v>1</v>
      </c>
      <c r="D10" s="6" t="s">
        <v>39</v>
      </c>
      <c r="E10" s="6" t="s">
        <v>55</v>
      </c>
      <c r="F10" s="6" t="s">
        <v>38</v>
      </c>
      <c r="G10" s="6" t="s">
        <v>56</v>
      </c>
      <c r="H10" s="6" t="s">
        <v>57</v>
      </c>
      <c r="I10" s="6" t="s">
        <v>58</v>
      </c>
    </row>
    <row r="11" spans="1:9" ht="17" x14ac:dyDescent="0.2">
      <c r="A11" t="s">
        <v>155</v>
      </c>
      <c r="B11" s="4">
        <v>45663</v>
      </c>
      <c r="C11" s="5">
        <v>2</v>
      </c>
      <c r="D11" s="6" t="s">
        <v>59</v>
      </c>
      <c r="E11" s="6" t="s">
        <v>60</v>
      </c>
      <c r="F11" s="6" t="s">
        <v>61</v>
      </c>
      <c r="G11" s="6" t="s">
        <v>62</v>
      </c>
      <c r="H11" s="6" t="s">
        <v>63</v>
      </c>
      <c r="I11" s="6" t="s">
        <v>64</v>
      </c>
    </row>
    <row r="12" spans="1:9" ht="17" x14ac:dyDescent="0.2">
      <c r="A12" t="s">
        <v>155</v>
      </c>
      <c r="B12" s="4">
        <v>45670</v>
      </c>
      <c r="C12" s="5">
        <v>3</v>
      </c>
      <c r="D12" s="6" t="s">
        <v>34</v>
      </c>
      <c r="E12" s="6" t="s">
        <v>39</v>
      </c>
      <c r="F12" s="6" t="s">
        <v>65</v>
      </c>
      <c r="G12" s="6" t="s">
        <v>66</v>
      </c>
      <c r="H12" s="6" t="s">
        <v>67</v>
      </c>
      <c r="I12" s="6" t="s">
        <v>29</v>
      </c>
    </row>
    <row r="13" spans="1:9" ht="17" x14ac:dyDescent="0.2">
      <c r="A13" t="s">
        <v>155</v>
      </c>
      <c r="B13" s="4">
        <v>45677</v>
      </c>
      <c r="C13" s="5">
        <v>4</v>
      </c>
      <c r="D13" s="6" t="s">
        <v>68</v>
      </c>
      <c r="E13" s="6" t="s">
        <v>69</v>
      </c>
      <c r="F13" s="6" t="s">
        <v>70</v>
      </c>
      <c r="G13" s="6" t="s">
        <v>29</v>
      </c>
      <c r="H13" s="6" t="s">
        <v>71</v>
      </c>
      <c r="I13" s="6" t="s">
        <v>72</v>
      </c>
    </row>
    <row r="14" spans="1:9" ht="17" x14ac:dyDescent="0.2">
      <c r="A14" t="s">
        <v>155</v>
      </c>
      <c r="B14" s="4">
        <v>45684</v>
      </c>
      <c r="C14" s="5">
        <v>5</v>
      </c>
      <c r="D14" s="6" t="s">
        <v>73</v>
      </c>
      <c r="E14" s="6" t="s">
        <v>74</v>
      </c>
      <c r="F14" s="6" t="s">
        <v>57</v>
      </c>
      <c r="G14" s="6" t="s">
        <v>75</v>
      </c>
      <c r="H14" s="6" t="s">
        <v>76</v>
      </c>
      <c r="I14" s="6" t="s">
        <v>77</v>
      </c>
    </row>
    <row r="15" spans="1:9" ht="17" x14ac:dyDescent="0.2">
      <c r="A15" t="s">
        <v>155</v>
      </c>
      <c r="B15" s="4">
        <v>45691</v>
      </c>
      <c r="C15" s="5">
        <v>6</v>
      </c>
      <c r="D15" s="6" t="s">
        <v>78</v>
      </c>
      <c r="E15" s="6" t="s">
        <v>65</v>
      </c>
      <c r="F15" s="6" t="s">
        <v>58</v>
      </c>
      <c r="G15" s="6" t="s">
        <v>79</v>
      </c>
      <c r="H15" s="6" t="s">
        <v>80</v>
      </c>
      <c r="I15" s="6" t="s">
        <v>81</v>
      </c>
    </row>
    <row r="16" spans="1:9" ht="17" x14ac:dyDescent="0.2">
      <c r="A16" t="s">
        <v>155</v>
      </c>
      <c r="B16" s="4">
        <v>45698</v>
      </c>
      <c r="C16" s="5">
        <v>7</v>
      </c>
      <c r="D16" s="6" t="s">
        <v>82</v>
      </c>
      <c r="E16" s="6" t="s">
        <v>83</v>
      </c>
      <c r="F16" s="6" t="s">
        <v>84</v>
      </c>
      <c r="G16" s="6" t="s">
        <v>31</v>
      </c>
      <c r="H16" s="6" t="s">
        <v>85</v>
      </c>
      <c r="I16" s="6" t="s">
        <v>86</v>
      </c>
    </row>
    <row r="17" spans="1:9" ht="17" x14ac:dyDescent="0.2">
      <c r="A17" t="s">
        <v>155</v>
      </c>
      <c r="B17" s="4">
        <v>45705</v>
      </c>
      <c r="C17" s="5">
        <v>8</v>
      </c>
      <c r="D17" s="6" t="s">
        <v>87</v>
      </c>
      <c r="E17" s="6" t="s">
        <v>88</v>
      </c>
      <c r="F17" s="6" t="s">
        <v>89</v>
      </c>
      <c r="G17" s="6" t="s">
        <v>90</v>
      </c>
      <c r="H17" s="6" t="s">
        <v>91</v>
      </c>
      <c r="I17" s="6" t="s">
        <v>16</v>
      </c>
    </row>
    <row r="18" spans="1:9" ht="17" x14ac:dyDescent="0.2">
      <c r="A18" t="s">
        <v>155</v>
      </c>
      <c r="B18" s="4">
        <v>45712</v>
      </c>
      <c r="C18" s="5">
        <v>9</v>
      </c>
      <c r="D18" s="6" t="s">
        <v>92</v>
      </c>
      <c r="E18" s="6" t="s">
        <v>63</v>
      </c>
      <c r="F18" s="6" t="s">
        <v>93</v>
      </c>
      <c r="G18" s="6" t="s">
        <v>94</v>
      </c>
      <c r="H18" s="6" t="s">
        <v>95</v>
      </c>
      <c r="I18" s="6" t="s">
        <v>14</v>
      </c>
    </row>
    <row r="19" spans="1:9" ht="17" x14ac:dyDescent="0.2">
      <c r="A19" t="s">
        <v>155</v>
      </c>
      <c r="B19" s="4">
        <v>45719</v>
      </c>
      <c r="C19" s="5">
        <v>10</v>
      </c>
      <c r="D19" s="6" t="s">
        <v>30</v>
      </c>
      <c r="E19" s="6" t="s">
        <v>96</v>
      </c>
      <c r="F19" s="6" t="s">
        <v>83</v>
      </c>
      <c r="G19" s="6" t="s">
        <v>10</v>
      </c>
      <c r="H19" s="6" t="s">
        <v>18</v>
      </c>
      <c r="I19" s="6" t="s">
        <v>97</v>
      </c>
    </row>
    <row r="20" spans="1:9" ht="17" x14ac:dyDescent="0.2">
      <c r="A20" t="s">
        <v>155</v>
      </c>
      <c r="B20" s="4">
        <v>45726</v>
      </c>
      <c r="C20" s="5">
        <v>11</v>
      </c>
      <c r="D20" s="6" t="s">
        <v>98</v>
      </c>
      <c r="E20" s="6" t="s">
        <v>99</v>
      </c>
      <c r="F20" s="6" t="s">
        <v>100</v>
      </c>
      <c r="G20" s="6" t="s">
        <v>101</v>
      </c>
      <c r="H20" s="6" t="s">
        <v>10</v>
      </c>
      <c r="I20" s="6" t="s">
        <v>102</v>
      </c>
    </row>
    <row r="21" spans="1:9" ht="17" x14ac:dyDescent="0.2">
      <c r="A21" t="s">
        <v>155</v>
      </c>
      <c r="B21" s="4">
        <v>45733</v>
      </c>
      <c r="C21" s="5">
        <v>12</v>
      </c>
      <c r="D21" s="6" t="s">
        <v>85</v>
      </c>
      <c r="E21" s="6" t="s">
        <v>103</v>
      </c>
      <c r="F21" s="6" t="s">
        <v>104</v>
      </c>
      <c r="G21" s="6" t="s">
        <v>102</v>
      </c>
      <c r="H21" s="6" t="s">
        <v>105</v>
      </c>
      <c r="I21" s="6" t="s">
        <v>106</v>
      </c>
    </row>
    <row r="22" spans="1:9" ht="17" x14ac:dyDescent="0.2">
      <c r="A22" t="s">
        <v>155</v>
      </c>
      <c r="B22" s="4">
        <v>45740</v>
      </c>
      <c r="C22" s="5">
        <v>13</v>
      </c>
      <c r="D22" s="6" t="s">
        <v>95</v>
      </c>
      <c r="E22" s="6" t="s">
        <v>78</v>
      </c>
      <c r="F22" s="6" t="s">
        <v>107</v>
      </c>
      <c r="G22" s="6" t="s">
        <v>102</v>
      </c>
      <c r="H22" s="6" t="s">
        <v>108</v>
      </c>
      <c r="I22" s="6" t="s">
        <v>102</v>
      </c>
    </row>
    <row r="23" spans="1:9" ht="17" x14ac:dyDescent="0.2">
      <c r="A23" t="s">
        <v>155</v>
      </c>
      <c r="B23" s="4">
        <v>45747</v>
      </c>
      <c r="C23" s="5">
        <v>14</v>
      </c>
      <c r="D23" s="6" t="s">
        <v>109</v>
      </c>
      <c r="E23" s="6" t="s">
        <v>94</v>
      </c>
      <c r="F23" s="6" t="s">
        <v>103</v>
      </c>
      <c r="G23" s="6" t="s">
        <v>105</v>
      </c>
      <c r="H23" s="6" t="s">
        <v>110</v>
      </c>
      <c r="I23" s="6" t="s">
        <v>18</v>
      </c>
    </row>
    <row r="24" spans="1:9" ht="17" x14ac:dyDescent="0.2">
      <c r="A24" t="s">
        <v>155</v>
      </c>
      <c r="B24" s="4">
        <v>45754</v>
      </c>
      <c r="C24" s="5">
        <v>15</v>
      </c>
      <c r="D24" s="6" t="s">
        <v>111</v>
      </c>
      <c r="E24" s="6" t="s">
        <v>112</v>
      </c>
      <c r="F24" s="6" t="s">
        <v>76</v>
      </c>
      <c r="G24" s="6" t="s">
        <v>113</v>
      </c>
      <c r="H24" s="6" t="s">
        <v>18</v>
      </c>
      <c r="I24" s="6" t="s">
        <v>114</v>
      </c>
    </row>
    <row r="25" spans="1:9" ht="17" x14ac:dyDescent="0.2">
      <c r="A25" t="s">
        <v>155</v>
      </c>
      <c r="B25" s="4">
        <v>45761</v>
      </c>
      <c r="C25" s="5">
        <v>16</v>
      </c>
      <c r="D25" s="6" t="s">
        <v>115</v>
      </c>
      <c r="E25" s="6" t="s">
        <v>17</v>
      </c>
      <c r="F25" s="6" t="s">
        <v>116</v>
      </c>
      <c r="G25" s="6" t="s">
        <v>114</v>
      </c>
      <c r="H25" s="6" t="s">
        <v>18</v>
      </c>
      <c r="I25" s="6" t="s">
        <v>117</v>
      </c>
    </row>
    <row r="26" spans="1:9" ht="17" x14ac:dyDescent="0.2">
      <c r="A26" t="s">
        <v>155</v>
      </c>
      <c r="B26" s="4">
        <v>45768</v>
      </c>
      <c r="C26" s="5">
        <v>17</v>
      </c>
      <c r="D26" s="6" t="s">
        <v>118</v>
      </c>
      <c r="E26" s="6" t="s">
        <v>119</v>
      </c>
      <c r="F26" s="6" t="s">
        <v>91</v>
      </c>
      <c r="G26" s="6" t="s">
        <v>120</v>
      </c>
      <c r="H26" s="6" t="s">
        <v>120</v>
      </c>
      <c r="I26" s="6" t="s">
        <v>121</v>
      </c>
    </row>
    <row r="27" spans="1:9" ht="17" x14ac:dyDescent="0.2">
      <c r="A27" t="s">
        <v>155</v>
      </c>
      <c r="B27" s="4">
        <v>45775</v>
      </c>
      <c r="C27" s="5">
        <v>18</v>
      </c>
      <c r="D27" s="6" t="s">
        <v>122</v>
      </c>
      <c r="E27" s="6" t="s">
        <v>123</v>
      </c>
      <c r="F27" s="6" t="s">
        <v>124</v>
      </c>
      <c r="G27" s="6" t="s">
        <v>125</v>
      </c>
      <c r="H27" s="6" t="s">
        <v>126</v>
      </c>
      <c r="I27" s="6" t="s">
        <v>122</v>
      </c>
    </row>
    <row r="28" spans="1:9" ht="17" x14ac:dyDescent="0.2">
      <c r="A28" t="s">
        <v>155</v>
      </c>
      <c r="B28" s="4">
        <v>45782</v>
      </c>
      <c r="C28" s="5">
        <v>19</v>
      </c>
      <c r="D28" s="6" t="s">
        <v>125</v>
      </c>
      <c r="E28" s="6" t="s">
        <v>121</v>
      </c>
      <c r="F28" s="6" t="s">
        <v>124</v>
      </c>
      <c r="G28" s="6" t="s">
        <v>12</v>
      </c>
      <c r="H28" s="6" t="s">
        <v>127</v>
      </c>
      <c r="I28" s="6" t="s">
        <v>120</v>
      </c>
    </row>
    <row r="29" spans="1:9" ht="17" x14ac:dyDescent="0.2">
      <c r="A29" t="s">
        <v>155</v>
      </c>
      <c r="B29" s="4">
        <v>45789</v>
      </c>
      <c r="C29" s="5">
        <v>20</v>
      </c>
      <c r="D29" s="6" t="s">
        <v>128</v>
      </c>
      <c r="E29" s="6" t="s">
        <v>128</v>
      </c>
      <c r="F29" s="6" t="s">
        <v>118</v>
      </c>
      <c r="G29" s="6" t="s">
        <v>121</v>
      </c>
      <c r="H29" s="6" t="s">
        <v>121</v>
      </c>
      <c r="I29" s="6" t="s">
        <v>129</v>
      </c>
    </row>
    <row r="30" spans="1:9" ht="17" x14ac:dyDescent="0.2">
      <c r="A30" t="s">
        <v>155</v>
      </c>
      <c r="B30" s="4">
        <v>45796</v>
      </c>
      <c r="C30" s="5">
        <v>21</v>
      </c>
      <c r="D30" s="6" t="s">
        <v>130</v>
      </c>
      <c r="E30" s="6" t="s">
        <v>12</v>
      </c>
      <c r="F30" s="6" t="s">
        <v>126</v>
      </c>
      <c r="G30" s="6" t="s">
        <v>126</v>
      </c>
      <c r="H30" s="6" t="s">
        <v>121</v>
      </c>
      <c r="I30" s="6" t="s">
        <v>120</v>
      </c>
    </row>
    <row r="31" spans="1:9" ht="17" x14ac:dyDescent="0.2">
      <c r="A31" t="s">
        <v>155</v>
      </c>
      <c r="B31" s="4">
        <v>45803</v>
      </c>
      <c r="C31" s="5">
        <v>22</v>
      </c>
      <c r="D31" s="6" t="s">
        <v>130</v>
      </c>
      <c r="E31" s="6" t="s">
        <v>131</v>
      </c>
      <c r="F31" s="6" t="s">
        <v>120</v>
      </c>
      <c r="G31" s="6" t="s">
        <v>132</v>
      </c>
      <c r="H31" s="6" t="s">
        <v>133</v>
      </c>
      <c r="I31" s="6" t="s">
        <v>134</v>
      </c>
    </row>
    <row r="32" spans="1:9" ht="17" x14ac:dyDescent="0.2">
      <c r="A32" t="s">
        <v>155</v>
      </c>
      <c r="B32" s="4">
        <v>45810</v>
      </c>
      <c r="C32" s="5">
        <v>23</v>
      </c>
      <c r="D32" s="6" t="s">
        <v>135</v>
      </c>
      <c r="E32" s="6" t="s">
        <v>127</v>
      </c>
      <c r="F32" s="6" t="s">
        <v>120</v>
      </c>
      <c r="G32" s="6" t="s">
        <v>136</v>
      </c>
      <c r="H32" s="6" t="s">
        <v>137</v>
      </c>
      <c r="I32" s="6" t="s">
        <v>133</v>
      </c>
    </row>
    <row r="33" spans="1:9" ht="17" x14ac:dyDescent="0.2">
      <c r="A33" t="s">
        <v>155</v>
      </c>
      <c r="B33" s="4">
        <v>45817</v>
      </c>
      <c r="C33" s="5">
        <v>24</v>
      </c>
      <c r="D33" s="6" t="s">
        <v>132</v>
      </c>
      <c r="E33" s="6" t="s">
        <v>122</v>
      </c>
      <c r="F33" s="6" t="s">
        <v>126</v>
      </c>
      <c r="G33" s="6" t="s">
        <v>137</v>
      </c>
      <c r="H33" s="6" t="s">
        <v>136</v>
      </c>
      <c r="I33" s="6" t="s">
        <v>136</v>
      </c>
    </row>
    <row r="34" spans="1:9" ht="17" x14ac:dyDescent="0.2">
      <c r="A34" t="s">
        <v>155</v>
      </c>
      <c r="B34" s="4">
        <v>45824</v>
      </c>
      <c r="C34" s="5">
        <v>25</v>
      </c>
      <c r="D34" s="6" t="s">
        <v>133</v>
      </c>
      <c r="E34" s="6" t="s">
        <v>138</v>
      </c>
      <c r="F34" s="6" t="s">
        <v>125</v>
      </c>
      <c r="G34" s="6" t="s">
        <v>132</v>
      </c>
      <c r="H34" s="6" t="s">
        <v>125</v>
      </c>
      <c r="I34" s="6" t="s">
        <v>131</v>
      </c>
    </row>
    <row r="35" spans="1:9" ht="17" x14ac:dyDescent="0.2">
      <c r="A35" t="s">
        <v>155</v>
      </c>
      <c r="B35" s="4">
        <v>45831</v>
      </c>
      <c r="C35" s="5">
        <v>26</v>
      </c>
      <c r="D35" s="6" t="s">
        <v>131</v>
      </c>
      <c r="E35" s="6" t="s">
        <v>128</v>
      </c>
      <c r="F35" s="6" t="s">
        <v>125</v>
      </c>
      <c r="G35" s="6" t="s">
        <v>127</v>
      </c>
      <c r="H35" s="6" t="s">
        <v>134</v>
      </c>
      <c r="I35" s="6" t="s">
        <v>133</v>
      </c>
    </row>
    <row r="36" spans="1:9" ht="17" x14ac:dyDescent="0.2">
      <c r="A36" t="s">
        <v>155</v>
      </c>
      <c r="B36" s="4">
        <v>45838</v>
      </c>
      <c r="C36" s="5">
        <v>27</v>
      </c>
      <c r="D36" s="6" t="s">
        <v>125</v>
      </c>
      <c r="E36" s="6" t="s">
        <v>131</v>
      </c>
      <c r="F36" s="6" t="s">
        <v>125</v>
      </c>
      <c r="G36" s="6" t="s">
        <v>137</v>
      </c>
      <c r="H36" s="6" t="s">
        <v>131</v>
      </c>
      <c r="I36" s="6" t="s">
        <v>138</v>
      </c>
    </row>
    <row r="37" spans="1:9" ht="17" x14ac:dyDescent="0.2">
      <c r="A37" t="s">
        <v>155</v>
      </c>
      <c r="B37" s="4">
        <v>45845</v>
      </c>
      <c r="C37" s="5">
        <v>28</v>
      </c>
      <c r="D37" s="6" t="s">
        <v>125</v>
      </c>
      <c r="E37" s="6" t="s">
        <v>138</v>
      </c>
      <c r="F37" s="6" t="s">
        <v>133</v>
      </c>
      <c r="G37" s="6" t="s">
        <v>121</v>
      </c>
      <c r="H37" s="6" t="s">
        <v>128</v>
      </c>
      <c r="I37" s="6" t="s">
        <v>138</v>
      </c>
    </row>
    <row r="38" spans="1:9" ht="17" x14ac:dyDescent="0.2">
      <c r="A38" t="s">
        <v>155</v>
      </c>
      <c r="B38" s="4">
        <v>45852</v>
      </c>
      <c r="C38" s="5">
        <v>29</v>
      </c>
      <c r="D38" s="6" t="s">
        <v>135</v>
      </c>
      <c r="E38" s="6" t="s">
        <v>138</v>
      </c>
      <c r="F38" s="6" t="s">
        <v>121</v>
      </c>
      <c r="G38" s="6" t="s">
        <v>137</v>
      </c>
      <c r="H38" s="6" t="s">
        <v>121</v>
      </c>
      <c r="I38" s="6" t="s">
        <v>135</v>
      </c>
    </row>
    <row r="39" spans="1:9" ht="17" x14ac:dyDescent="0.2">
      <c r="A39" t="s">
        <v>155</v>
      </c>
      <c r="B39" s="4">
        <v>45859</v>
      </c>
      <c r="C39" s="5">
        <v>30</v>
      </c>
      <c r="D39" s="6" t="s">
        <v>131</v>
      </c>
      <c r="E39" s="6" t="s">
        <v>120</v>
      </c>
      <c r="F39" s="6" t="s">
        <v>139</v>
      </c>
      <c r="G39" s="6" t="s">
        <v>128</v>
      </c>
      <c r="H39" s="6" t="s">
        <v>130</v>
      </c>
      <c r="I39" s="6" t="s">
        <v>137</v>
      </c>
    </row>
    <row r="40" spans="1:9" ht="17" x14ac:dyDescent="0.2">
      <c r="A40" t="s">
        <v>155</v>
      </c>
      <c r="B40" s="4">
        <v>45866</v>
      </c>
      <c r="C40" s="5">
        <v>31</v>
      </c>
      <c r="D40" s="6" t="s">
        <v>133</v>
      </c>
      <c r="E40" s="6" t="s">
        <v>130</v>
      </c>
      <c r="F40" s="6" t="s">
        <v>137</v>
      </c>
      <c r="G40" s="6" t="s">
        <v>136</v>
      </c>
      <c r="H40" s="6" t="s">
        <v>140</v>
      </c>
      <c r="I40" s="6" t="s">
        <v>132</v>
      </c>
    </row>
    <row r="41" spans="1:9" ht="17" x14ac:dyDescent="0.2">
      <c r="A41" t="s">
        <v>155</v>
      </c>
      <c r="B41" s="4">
        <v>45873</v>
      </c>
      <c r="C41" s="5">
        <v>32</v>
      </c>
      <c r="D41" s="6" t="s">
        <v>131</v>
      </c>
      <c r="E41" s="6" t="s">
        <v>134</v>
      </c>
      <c r="F41" s="6" t="s">
        <v>120</v>
      </c>
      <c r="G41" s="6" t="s">
        <v>133</v>
      </c>
      <c r="H41" s="6" t="s">
        <v>125</v>
      </c>
      <c r="I41" s="6" t="s">
        <v>121</v>
      </c>
    </row>
    <row r="42" spans="1:9" ht="17" x14ac:dyDescent="0.2">
      <c r="A42" t="s">
        <v>155</v>
      </c>
      <c r="B42" s="4">
        <v>45880</v>
      </c>
      <c r="C42" s="5">
        <v>33</v>
      </c>
      <c r="D42" s="6" t="s">
        <v>131</v>
      </c>
      <c r="E42" s="6" t="s">
        <v>127</v>
      </c>
      <c r="F42" s="6" t="s">
        <v>134</v>
      </c>
      <c r="G42" s="6" t="s">
        <v>136</v>
      </c>
      <c r="H42" s="6" t="s">
        <v>128</v>
      </c>
      <c r="I42" s="6" t="s">
        <v>131</v>
      </c>
    </row>
    <row r="43" spans="1:9" ht="17" x14ac:dyDescent="0.2">
      <c r="A43" t="s">
        <v>155</v>
      </c>
      <c r="B43" s="4">
        <v>45887</v>
      </c>
      <c r="C43" s="5">
        <v>34</v>
      </c>
      <c r="D43" s="6" t="s">
        <v>136</v>
      </c>
      <c r="E43" s="6" t="s">
        <v>137</v>
      </c>
      <c r="F43" s="6" t="s">
        <v>122</v>
      </c>
      <c r="G43" s="6" t="s">
        <v>127</v>
      </c>
      <c r="H43" s="6" t="s">
        <v>127</v>
      </c>
      <c r="I43" s="6" t="s">
        <v>121</v>
      </c>
    </row>
    <row r="44" spans="1:9" ht="17" x14ac:dyDescent="0.2">
      <c r="A44" t="s">
        <v>155</v>
      </c>
      <c r="B44" s="4">
        <v>45894</v>
      </c>
      <c r="C44" s="5">
        <v>35</v>
      </c>
      <c r="D44" s="6" t="s">
        <v>119</v>
      </c>
      <c r="E44" s="6" t="s">
        <v>8</v>
      </c>
      <c r="F44" s="6" t="s">
        <v>127</v>
      </c>
      <c r="G44" s="6" t="s">
        <v>129</v>
      </c>
      <c r="H44" s="6" t="s">
        <v>121</v>
      </c>
      <c r="I44" s="6" t="s">
        <v>122</v>
      </c>
    </row>
    <row r="45" spans="1:9" ht="17" x14ac:dyDescent="0.2">
      <c r="A45" t="s">
        <v>155</v>
      </c>
      <c r="B45" s="4">
        <v>45901</v>
      </c>
      <c r="C45" s="5">
        <v>36</v>
      </c>
      <c r="D45" s="6" t="s">
        <v>125</v>
      </c>
      <c r="E45" s="6" t="s">
        <v>114</v>
      </c>
      <c r="F45" s="6" t="s">
        <v>127</v>
      </c>
      <c r="G45" s="6" t="s">
        <v>134</v>
      </c>
      <c r="H45" s="6" t="s">
        <v>133</v>
      </c>
      <c r="I45" s="6" t="s">
        <v>128</v>
      </c>
    </row>
    <row r="46" spans="1:9" ht="17" x14ac:dyDescent="0.2">
      <c r="A46" t="s">
        <v>155</v>
      </c>
      <c r="B46" s="4">
        <v>45908</v>
      </c>
      <c r="C46" s="5">
        <v>37</v>
      </c>
      <c r="D46" s="6" t="s">
        <v>128</v>
      </c>
      <c r="E46" s="6" t="s">
        <v>11</v>
      </c>
      <c r="F46" s="6" t="s">
        <v>120</v>
      </c>
      <c r="G46" s="6" t="s">
        <v>122</v>
      </c>
      <c r="H46" s="6" t="s">
        <v>121</v>
      </c>
      <c r="I46" s="6" t="s">
        <v>128</v>
      </c>
    </row>
    <row r="47" spans="1:9" ht="17" x14ac:dyDescent="0.2">
      <c r="A47" t="s">
        <v>155</v>
      </c>
      <c r="B47" s="4">
        <v>45915</v>
      </c>
      <c r="C47" s="5">
        <v>38</v>
      </c>
      <c r="D47" s="6" t="s">
        <v>130</v>
      </c>
      <c r="E47" s="6" t="s">
        <v>129</v>
      </c>
      <c r="F47" s="6" t="s">
        <v>18</v>
      </c>
      <c r="G47" s="6" t="s">
        <v>122</v>
      </c>
      <c r="H47" s="6" t="s">
        <v>134</v>
      </c>
      <c r="I47" s="6" t="s">
        <v>136</v>
      </c>
    </row>
    <row r="48" spans="1:9" ht="17" x14ac:dyDescent="0.2">
      <c r="A48" t="s">
        <v>155</v>
      </c>
      <c r="B48" s="4">
        <v>45922</v>
      </c>
      <c r="C48" s="5">
        <v>39</v>
      </c>
      <c r="D48" s="6" t="s">
        <v>115</v>
      </c>
      <c r="E48" s="6" t="s">
        <v>11</v>
      </c>
      <c r="F48" s="6" t="s">
        <v>141</v>
      </c>
      <c r="G48" s="6" t="s">
        <v>122</v>
      </c>
      <c r="H48" s="6" t="s">
        <v>125</v>
      </c>
      <c r="I48" s="6" t="s">
        <v>127</v>
      </c>
    </row>
    <row r="49" spans="1:9" ht="17" x14ac:dyDescent="0.2">
      <c r="A49" t="s">
        <v>155</v>
      </c>
      <c r="B49" s="4">
        <v>45929</v>
      </c>
      <c r="C49" s="5">
        <v>40</v>
      </c>
      <c r="D49" s="6" t="s">
        <v>142</v>
      </c>
      <c r="E49" s="6" t="s">
        <v>143</v>
      </c>
      <c r="F49" s="6" t="s">
        <v>21</v>
      </c>
      <c r="G49" s="6" t="s">
        <v>11</v>
      </c>
      <c r="H49" s="6" t="s">
        <v>114</v>
      </c>
      <c r="I49" s="6" t="s">
        <v>124</v>
      </c>
    </row>
    <row r="50" spans="1:9" ht="17" x14ac:dyDescent="0.2">
      <c r="A50" t="s">
        <v>155</v>
      </c>
      <c r="B50" s="4">
        <v>45936</v>
      </c>
      <c r="C50" s="5">
        <v>41</v>
      </c>
      <c r="D50" s="6" t="s">
        <v>144</v>
      </c>
      <c r="E50" s="6" t="s">
        <v>145</v>
      </c>
      <c r="F50" s="6" t="s">
        <v>146</v>
      </c>
      <c r="G50" s="6" t="s">
        <v>112</v>
      </c>
      <c r="H50" s="6" t="s">
        <v>10</v>
      </c>
      <c r="I50" s="6" t="s">
        <v>105</v>
      </c>
    </row>
    <row r="51" spans="1:9" ht="17" x14ac:dyDescent="0.2">
      <c r="A51" t="s">
        <v>155</v>
      </c>
      <c r="B51" s="4">
        <v>45943</v>
      </c>
      <c r="C51" s="5">
        <v>42</v>
      </c>
      <c r="D51" s="6" t="s">
        <v>147</v>
      </c>
      <c r="E51" s="6" t="s">
        <v>148</v>
      </c>
      <c r="F51" s="6" t="s">
        <v>21</v>
      </c>
      <c r="G51" s="6" t="s">
        <v>25</v>
      </c>
      <c r="H51" s="6" t="s">
        <v>106</v>
      </c>
      <c r="I51" s="6" t="s">
        <v>143</v>
      </c>
    </row>
    <row r="52" spans="1:9" ht="17" x14ac:dyDescent="0.2">
      <c r="A52" t="s">
        <v>155</v>
      </c>
      <c r="B52" s="4">
        <v>45950</v>
      </c>
      <c r="C52" s="5">
        <v>43</v>
      </c>
      <c r="D52" s="6" t="s">
        <v>103</v>
      </c>
      <c r="E52" s="6" t="s">
        <v>149</v>
      </c>
      <c r="F52" s="6" t="s">
        <v>96</v>
      </c>
      <c r="G52" s="6" t="s">
        <v>143</v>
      </c>
      <c r="H52" s="6" t="s">
        <v>24</v>
      </c>
      <c r="I52" s="6" t="s">
        <v>150</v>
      </c>
    </row>
    <row r="53" spans="1:9" ht="18" thickBot="1" x14ac:dyDescent="0.25">
      <c r="A53" t="s">
        <v>155</v>
      </c>
      <c r="B53" s="4">
        <v>45957</v>
      </c>
      <c r="C53" s="5">
        <v>44</v>
      </c>
      <c r="D53" s="6" t="s">
        <v>151</v>
      </c>
      <c r="E53" s="6" t="s">
        <v>152</v>
      </c>
      <c r="F53" s="6" t="s">
        <v>153</v>
      </c>
      <c r="G53" s="6" t="s">
        <v>9</v>
      </c>
      <c r="H53" s="6" t="s">
        <v>94</v>
      </c>
      <c r="I53" s="6" t="s">
        <v>20</v>
      </c>
    </row>
    <row r="54" spans="1:9" x14ac:dyDescent="0.2">
      <c r="A54" t="s">
        <v>156</v>
      </c>
      <c r="B54" s="13">
        <v>44745</v>
      </c>
      <c r="C54" s="10">
        <v>27</v>
      </c>
      <c r="D54" s="7">
        <v>0.41407867494824019</v>
      </c>
      <c r="E54" s="7">
        <v>0</v>
      </c>
      <c r="F54" s="7">
        <v>1.5802781289506951</v>
      </c>
      <c r="G54" s="7">
        <v>0.43010752688172044</v>
      </c>
      <c r="H54" s="7">
        <v>0.42750267189169933</v>
      </c>
    </row>
    <row r="55" spans="1:9" x14ac:dyDescent="0.2">
      <c r="A55" t="s">
        <v>156</v>
      </c>
      <c r="B55" s="13">
        <f>SUM(B54+7)</f>
        <v>44752</v>
      </c>
      <c r="C55" s="11">
        <v>28</v>
      </c>
      <c r="D55" s="8">
        <v>0.77519379844961245</v>
      </c>
      <c r="E55" s="8">
        <v>1.9230769230769231</v>
      </c>
      <c r="F55" s="8">
        <v>2.1058315334773217</v>
      </c>
      <c r="G55" s="8">
        <v>1.0271903323262841</v>
      </c>
      <c r="H55" s="8">
        <v>0.71791803769069695</v>
      </c>
    </row>
    <row r="56" spans="1:9" x14ac:dyDescent="0.2">
      <c r="A56" t="s">
        <v>156</v>
      </c>
      <c r="B56" s="13">
        <f t="shared" ref="B56:B105" si="0">SUM(B55+7)</f>
        <v>44759</v>
      </c>
      <c r="C56" s="11">
        <v>29</v>
      </c>
      <c r="D56" s="8">
        <v>0.12578616352201258</v>
      </c>
      <c r="E56" s="8">
        <v>0.35587188612099641</v>
      </c>
      <c r="F56" s="8">
        <v>1.7806267806267806</v>
      </c>
      <c r="G56" s="8">
        <v>0.41186161449752884</v>
      </c>
      <c r="H56" s="8">
        <v>0.15444015444015444</v>
      </c>
    </row>
    <row r="57" spans="1:9" x14ac:dyDescent="0.2">
      <c r="A57" t="s">
        <v>156</v>
      </c>
      <c r="B57" s="13">
        <f t="shared" si="0"/>
        <v>44766</v>
      </c>
      <c r="C57" s="11">
        <v>30</v>
      </c>
      <c r="D57" s="8">
        <v>0</v>
      </c>
      <c r="E57" s="8">
        <v>0.30769230769230771</v>
      </c>
      <c r="F57" s="8">
        <v>0.68238213399503722</v>
      </c>
      <c r="G57" s="8">
        <v>0.35971223021582738</v>
      </c>
      <c r="H57" s="8">
        <v>0.50623052959501558</v>
      </c>
    </row>
    <row r="58" spans="1:9" x14ac:dyDescent="0.2">
      <c r="A58" t="s">
        <v>156</v>
      </c>
      <c r="B58" s="13">
        <f t="shared" si="0"/>
        <v>44773</v>
      </c>
      <c r="C58" s="11">
        <v>31</v>
      </c>
      <c r="D58" s="8">
        <v>0.31007751937984496</v>
      </c>
      <c r="E58" s="8">
        <v>0.41666666666666669</v>
      </c>
      <c r="F58" s="8">
        <v>1.5957446808510638</v>
      </c>
      <c r="G58" s="8">
        <v>1.2919896640826873</v>
      </c>
      <c r="H58" s="8">
        <v>0.2142857142857143</v>
      </c>
    </row>
    <row r="59" spans="1:9" x14ac:dyDescent="0.2">
      <c r="A59" t="s">
        <v>156</v>
      </c>
      <c r="B59" s="13">
        <f t="shared" si="0"/>
        <v>44780</v>
      </c>
      <c r="C59" s="11">
        <v>32</v>
      </c>
      <c r="D59" s="8">
        <v>1.4580801944106925</v>
      </c>
      <c r="E59" s="8">
        <v>3.4267912772585665</v>
      </c>
      <c r="F59" s="8">
        <v>2.9062870699881378</v>
      </c>
      <c r="G59" s="8">
        <v>1.098901098901099</v>
      </c>
      <c r="H59" s="8">
        <v>0.87118855009334173</v>
      </c>
    </row>
    <row r="60" spans="1:9" x14ac:dyDescent="0.2">
      <c r="A60" t="s">
        <v>156</v>
      </c>
      <c r="B60" s="13">
        <f t="shared" si="0"/>
        <v>44787</v>
      </c>
      <c r="C60" s="11">
        <v>33</v>
      </c>
      <c r="D60" s="8">
        <v>1.0101010101010102</v>
      </c>
      <c r="E60" s="8">
        <v>0.34965034965034963</v>
      </c>
      <c r="F60" s="8">
        <v>1.4913007456503728</v>
      </c>
      <c r="G60" s="8">
        <v>0.39643211100099107</v>
      </c>
      <c r="H60" s="8">
        <v>0.83129584352078234</v>
      </c>
    </row>
    <row r="61" spans="1:9" x14ac:dyDescent="0.2">
      <c r="A61" t="s">
        <v>156</v>
      </c>
      <c r="B61" s="13">
        <f t="shared" si="0"/>
        <v>44794</v>
      </c>
      <c r="C61" s="11">
        <v>34</v>
      </c>
      <c r="D61" s="8">
        <v>0</v>
      </c>
      <c r="E61" s="8">
        <v>0</v>
      </c>
      <c r="F61" s="8">
        <v>0.56818181818181823</v>
      </c>
      <c r="G61" s="8">
        <v>0.75268817204301075</v>
      </c>
      <c r="H61" s="8">
        <v>0.67453625632377734</v>
      </c>
    </row>
    <row r="62" spans="1:9" x14ac:dyDescent="0.2">
      <c r="A62" t="s">
        <v>156</v>
      </c>
      <c r="B62" s="13">
        <f t="shared" si="0"/>
        <v>44801</v>
      </c>
      <c r="C62" s="11">
        <v>35</v>
      </c>
      <c r="D62" s="8">
        <v>0.42194092827004215</v>
      </c>
      <c r="E62" s="8">
        <v>0</v>
      </c>
      <c r="F62" s="8">
        <v>3.6549707602339181</v>
      </c>
      <c r="G62" s="8">
        <v>0.49019607843137253</v>
      </c>
      <c r="H62" s="8">
        <v>0.40160642570281119</v>
      </c>
    </row>
    <row r="63" spans="1:9" x14ac:dyDescent="0.2">
      <c r="A63" t="s">
        <v>156</v>
      </c>
      <c r="B63" s="13">
        <f t="shared" si="0"/>
        <v>44808</v>
      </c>
      <c r="C63" s="11">
        <v>36</v>
      </c>
      <c r="D63" s="8">
        <v>0.95541401273885351</v>
      </c>
      <c r="E63" s="8">
        <v>2.834008097165992</v>
      </c>
      <c r="F63" s="8">
        <v>6.557377049180328</v>
      </c>
      <c r="G63" s="8">
        <v>2.2608695652173916</v>
      </c>
      <c r="H63" s="8">
        <v>0.81227436823104682</v>
      </c>
    </row>
    <row r="64" spans="1:9" x14ac:dyDescent="0.2">
      <c r="A64" t="s">
        <v>156</v>
      </c>
      <c r="B64" s="13">
        <f t="shared" si="0"/>
        <v>44815</v>
      </c>
      <c r="C64" s="11">
        <v>37</v>
      </c>
      <c r="D64" s="8">
        <v>2.1276595744680851</v>
      </c>
      <c r="E64" s="8">
        <v>3.2069970845481048</v>
      </c>
      <c r="F64" s="8">
        <v>7.7551020408163263</v>
      </c>
      <c r="G64" s="8">
        <v>3.566333808844508</v>
      </c>
      <c r="H64" s="8">
        <v>1.7313432835820894</v>
      </c>
    </row>
    <row r="65" spans="1:8" x14ac:dyDescent="0.2">
      <c r="A65" t="s">
        <v>156</v>
      </c>
      <c r="B65" s="13">
        <f t="shared" si="0"/>
        <v>44822</v>
      </c>
      <c r="C65" s="11">
        <v>38</v>
      </c>
      <c r="D65" s="8">
        <v>2.3323615160349855</v>
      </c>
      <c r="E65" s="8">
        <v>1.6181229773462782</v>
      </c>
      <c r="F65" s="8">
        <v>4.4910179640718564</v>
      </c>
      <c r="G65" s="8">
        <v>3.2061068702290076</v>
      </c>
      <c r="H65" s="8">
        <v>1.7301038062283738</v>
      </c>
    </row>
    <row r="66" spans="1:8" x14ac:dyDescent="0.2">
      <c r="A66" t="s">
        <v>156</v>
      </c>
      <c r="B66" s="13">
        <f t="shared" si="0"/>
        <v>44829</v>
      </c>
      <c r="C66" s="11">
        <v>39</v>
      </c>
      <c r="D66" s="8">
        <v>2.2727272727272729</v>
      </c>
      <c r="E66" s="8">
        <v>4.225352112676056</v>
      </c>
      <c r="F66" s="8">
        <v>5.7755775577557751</v>
      </c>
      <c r="G66" s="8">
        <v>3.833333333333333</v>
      </c>
      <c r="H66" s="8">
        <v>2.0185029436501263</v>
      </c>
    </row>
    <row r="67" spans="1:8" x14ac:dyDescent="0.2">
      <c r="A67" t="s">
        <v>156</v>
      </c>
      <c r="B67" s="13">
        <f t="shared" si="0"/>
        <v>44836</v>
      </c>
      <c r="C67" s="11">
        <v>40</v>
      </c>
      <c r="D67" s="8">
        <v>3.7769784172661871</v>
      </c>
      <c r="E67" s="8">
        <v>4.8507462686567164</v>
      </c>
      <c r="F67" s="8">
        <v>9.6062992125984259</v>
      </c>
      <c r="G67" s="8">
        <v>3.1914893617021276</v>
      </c>
      <c r="H67" s="8">
        <v>2.318548387096774</v>
      </c>
    </row>
    <row r="68" spans="1:8" x14ac:dyDescent="0.2">
      <c r="A68" t="s">
        <v>156</v>
      </c>
      <c r="B68" s="13">
        <f t="shared" si="0"/>
        <v>44843</v>
      </c>
      <c r="C68" s="11">
        <v>41</v>
      </c>
      <c r="D68" s="8">
        <v>4.288939051918736</v>
      </c>
      <c r="E68" s="8">
        <v>13.802816901408452</v>
      </c>
      <c r="F68" s="8">
        <v>10.7</v>
      </c>
      <c r="G68" s="8">
        <v>4.7071129707112966</v>
      </c>
      <c r="H68" s="8">
        <v>3.4862385321100922</v>
      </c>
    </row>
    <row r="69" spans="1:8" x14ac:dyDescent="0.2">
      <c r="A69" t="s">
        <v>156</v>
      </c>
      <c r="B69" s="13">
        <f t="shared" si="0"/>
        <v>44850</v>
      </c>
      <c r="C69" s="11">
        <v>42</v>
      </c>
      <c r="D69" s="8">
        <v>6.1111111111111107</v>
      </c>
      <c r="E69" s="8">
        <v>11.370262390670554</v>
      </c>
      <c r="F69" s="8">
        <v>10.473313192346426</v>
      </c>
      <c r="G69" s="8">
        <v>6.0540540540540544</v>
      </c>
      <c r="H69" s="8">
        <v>3.4968431277319088</v>
      </c>
    </row>
    <row r="70" spans="1:8" x14ac:dyDescent="0.2">
      <c r="A70" t="s">
        <v>156</v>
      </c>
      <c r="B70" s="13">
        <f t="shared" si="0"/>
        <v>44857</v>
      </c>
      <c r="C70" s="11">
        <v>43</v>
      </c>
      <c r="D70" s="8">
        <v>7.0157068062827221</v>
      </c>
      <c r="E70" s="8">
        <v>12.349397590361445</v>
      </c>
      <c r="F70" s="8">
        <v>14.503042596348884</v>
      </c>
      <c r="G70" s="8">
        <v>6.1814556331006978</v>
      </c>
      <c r="H70" s="8">
        <v>4.8007681228996635</v>
      </c>
    </row>
    <row r="71" spans="1:8" x14ac:dyDescent="0.2">
      <c r="A71" t="s">
        <v>156</v>
      </c>
      <c r="B71" s="13">
        <f t="shared" si="0"/>
        <v>44864</v>
      </c>
      <c r="C71" s="11">
        <v>44</v>
      </c>
      <c r="D71" s="8">
        <v>5.8598726114649686</v>
      </c>
      <c r="E71" s="8">
        <v>11.379310344827587</v>
      </c>
      <c r="F71" s="8">
        <v>14.903846153846153</v>
      </c>
      <c r="G71" s="8">
        <v>7.7220077220077217</v>
      </c>
      <c r="H71" s="8">
        <v>5.5432372505543244</v>
      </c>
    </row>
    <row r="72" spans="1:8" x14ac:dyDescent="0.2">
      <c r="A72" t="s">
        <v>156</v>
      </c>
      <c r="B72" s="13">
        <f t="shared" si="0"/>
        <v>44871</v>
      </c>
      <c r="C72" s="11">
        <v>45</v>
      </c>
      <c r="D72" s="8">
        <v>8.1611570247933898</v>
      </c>
      <c r="E72" s="8">
        <v>15.135135135135137</v>
      </c>
      <c r="F72" s="8">
        <v>14.891416752843847</v>
      </c>
      <c r="G72" s="8">
        <v>6.9295101553166063</v>
      </c>
      <c r="H72" s="8">
        <v>6.5832784726793951</v>
      </c>
    </row>
    <row r="73" spans="1:8" x14ac:dyDescent="0.2">
      <c r="A73" t="s">
        <v>156</v>
      </c>
      <c r="B73" s="13">
        <f t="shared" si="0"/>
        <v>44878</v>
      </c>
      <c r="C73" s="11">
        <v>46</v>
      </c>
      <c r="D73" s="8">
        <v>8.6092715231788084</v>
      </c>
      <c r="E73" s="8">
        <v>15.681818181818183</v>
      </c>
      <c r="F73" s="8">
        <v>17.502124044180121</v>
      </c>
      <c r="G73" s="8">
        <v>7.2046109510086458</v>
      </c>
      <c r="H73" s="8">
        <v>6.516750803120698</v>
      </c>
    </row>
    <row r="74" spans="1:8" x14ac:dyDescent="0.2">
      <c r="A74" t="s">
        <v>156</v>
      </c>
      <c r="B74" s="13">
        <f t="shared" si="0"/>
        <v>44885</v>
      </c>
      <c r="C74" s="11">
        <v>47</v>
      </c>
      <c r="D74" s="8">
        <v>9.7222222222222232</v>
      </c>
      <c r="E74" s="8">
        <v>22.183708838821488</v>
      </c>
      <c r="F74" s="8">
        <v>21.085759244689221</v>
      </c>
      <c r="G74" s="8">
        <v>9.2592592592592595</v>
      </c>
      <c r="H74" s="8">
        <v>8.6353467561521242</v>
      </c>
    </row>
    <row r="75" spans="1:8" x14ac:dyDescent="0.2">
      <c r="A75" t="s">
        <v>156</v>
      </c>
      <c r="B75" s="13">
        <f t="shared" si="0"/>
        <v>44892</v>
      </c>
      <c r="C75" s="11">
        <v>48</v>
      </c>
      <c r="D75" s="8">
        <v>13.262599469496022</v>
      </c>
      <c r="E75" s="8">
        <v>29.327902240325866</v>
      </c>
      <c r="F75" s="8">
        <v>28.633217993079583</v>
      </c>
      <c r="G75" s="8">
        <v>14.468503937007874</v>
      </c>
      <c r="H75" s="8">
        <v>11.505321844906234</v>
      </c>
    </row>
    <row r="76" spans="1:8" x14ac:dyDescent="0.2">
      <c r="A76" t="s">
        <v>156</v>
      </c>
      <c r="B76" s="13">
        <f t="shared" si="0"/>
        <v>44899</v>
      </c>
      <c r="C76" s="11">
        <v>49</v>
      </c>
      <c r="D76" s="8">
        <v>18.515283842794762</v>
      </c>
      <c r="E76" s="8">
        <v>35.630498533724342</v>
      </c>
      <c r="F76" s="8">
        <v>33.574879227053138</v>
      </c>
      <c r="G76" s="8">
        <v>19.024390243902438</v>
      </c>
      <c r="H76" s="8">
        <v>18.348144276006273</v>
      </c>
    </row>
    <row r="77" spans="1:8" x14ac:dyDescent="0.2">
      <c r="A77" t="s">
        <v>156</v>
      </c>
      <c r="B77" s="13">
        <f t="shared" si="0"/>
        <v>44906</v>
      </c>
      <c r="C77" s="11">
        <v>50</v>
      </c>
      <c r="D77" s="8">
        <v>27.740189445196211</v>
      </c>
      <c r="E77" s="8">
        <v>45.294855708908408</v>
      </c>
      <c r="F77" s="8">
        <v>42.946058091286304</v>
      </c>
      <c r="G77" s="8">
        <v>24.750733137829911</v>
      </c>
      <c r="H77" s="8">
        <v>23.606295012003201</v>
      </c>
    </row>
    <row r="78" spans="1:8" x14ac:dyDescent="0.2">
      <c r="A78" t="s">
        <v>156</v>
      </c>
      <c r="B78" s="13">
        <f t="shared" si="0"/>
        <v>44913</v>
      </c>
      <c r="C78" s="11">
        <v>51</v>
      </c>
      <c r="D78" s="8">
        <v>30.106851037083594</v>
      </c>
      <c r="E78" s="8">
        <v>50.327653997378761</v>
      </c>
      <c r="F78" s="8">
        <v>44.419642857142854</v>
      </c>
      <c r="G78" s="8">
        <v>27.804410354745922</v>
      </c>
      <c r="H78" s="8">
        <v>26.087761525643398</v>
      </c>
    </row>
    <row r="79" spans="1:8" x14ac:dyDescent="0.2">
      <c r="A79" t="s">
        <v>156</v>
      </c>
      <c r="B79" s="13">
        <f t="shared" si="0"/>
        <v>44920</v>
      </c>
      <c r="C79" s="11">
        <v>52</v>
      </c>
      <c r="D79" s="8">
        <v>27.947598253275107</v>
      </c>
      <c r="E79" s="8">
        <v>30.625000000000004</v>
      </c>
      <c r="F79" s="8">
        <v>36.632536973833901</v>
      </c>
      <c r="G79" s="8">
        <v>25.631174533479694</v>
      </c>
      <c r="H79" s="8">
        <v>25.462680496237546</v>
      </c>
    </row>
    <row r="80" spans="1:8" x14ac:dyDescent="0.2">
      <c r="A80" t="s">
        <v>156</v>
      </c>
      <c r="B80" s="13">
        <f t="shared" si="0"/>
        <v>44927</v>
      </c>
      <c r="C80" s="11">
        <v>1</v>
      </c>
      <c r="D80" s="8">
        <v>18.969957081545065</v>
      </c>
      <c r="E80" s="8">
        <v>18.877551020408163</v>
      </c>
      <c r="F80" s="8">
        <v>17.752948479205465</v>
      </c>
      <c r="G80" s="8">
        <v>11.070496083550914</v>
      </c>
      <c r="H80" s="8">
        <v>14.699977693508812</v>
      </c>
    </row>
    <row r="81" spans="1:8" x14ac:dyDescent="0.2">
      <c r="A81" t="s">
        <v>156</v>
      </c>
      <c r="B81" s="13">
        <f t="shared" si="0"/>
        <v>44934</v>
      </c>
      <c r="C81" s="11">
        <v>2</v>
      </c>
      <c r="D81" s="8">
        <v>8.8607594936708853</v>
      </c>
      <c r="E81" s="8">
        <v>7.3068893528183718</v>
      </c>
      <c r="F81" s="8">
        <v>10.0169779286927</v>
      </c>
      <c r="G81" s="8">
        <v>5.539906103286385</v>
      </c>
      <c r="H81" s="8">
        <v>6.6639158242211671</v>
      </c>
    </row>
    <row r="82" spans="1:8" x14ac:dyDescent="0.2">
      <c r="A82" t="s">
        <v>156</v>
      </c>
      <c r="B82" s="13">
        <f t="shared" si="0"/>
        <v>44941</v>
      </c>
      <c r="C82" s="11">
        <v>3</v>
      </c>
      <c r="D82" s="8">
        <v>3.4628378378378377</v>
      </c>
      <c r="E82" s="8">
        <v>5.019305019305019</v>
      </c>
      <c r="F82" s="8">
        <v>5.5066079295154182</v>
      </c>
      <c r="G82" s="8">
        <v>3.0856423173803527</v>
      </c>
      <c r="H82" s="8">
        <v>2.5171624713958809</v>
      </c>
    </row>
    <row r="83" spans="1:8" x14ac:dyDescent="0.2">
      <c r="A83" t="s">
        <v>156</v>
      </c>
      <c r="B83" s="13">
        <f t="shared" si="0"/>
        <v>44948</v>
      </c>
      <c r="C83" s="11">
        <v>4</v>
      </c>
      <c r="D83" s="8">
        <v>3.3626901521216972</v>
      </c>
      <c r="E83" s="8">
        <v>2.9702970297029703</v>
      </c>
      <c r="F83" s="8">
        <v>7.2503419972640222</v>
      </c>
      <c r="G83" s="8">
        <v>2.9463759575721862</v>
      </c>
      <c r="H83" s="8">
        <v>1.7826336975273145</v>
      </c>
    </row>
    <row r="84" spans="1:8" x14ac:dyDescent="0.2">
      <c r="A84" t="s">
        <v>156</v>
      </c>
      <c r="B84" s="13">
        <f t="shared" si="0"/>
        <v>44955</v>
      </c>
      <c r="C84" s="11">
        <v>5</v>
      </c>
      <c r="D84" s="8">
        <v>2.4756852343059239</v>
      </c>
      <c r="E84" s="8">
        <v>4.3071161048689142</v>
      </c>
      <c r="F84" s="8">
        <v>5.1687006460875811</v>
      </c>
      <c r="G84" s="8">
        <v>2.268308489954634</v>
      </c>
      <c r="H84" s="8">
        <v>1.7598024081506638</v>
      </c>
    </row>
    <row r="85" spans="1:8" x14ac:dyDescent="0.2">
      <c r="A85" t="s">
        <v>156</v>
      </c>
      <c r="B85" s="13">
        <f t="shared" si="0"/>
        <v>44962</v>
      </c>
      <c r="C85" s="11">
        <v>6</v>
      </c>
      <c r="D85" s="8">
        <v>1.7699115044247788</v>
      </c>
      <c r="E85" s="8">
        <v>4.5725646123260439</v>
      </c>
      <c r="F85" s="8">
        <v>5.3097345132743365</v>
      </c>
      <c r="G85" s="8">
        <v>1.4538558786346398</v>
      </c>
      <c r="H85" s="8">
        <v>0.90470446320868525</v>
      </c>
    </row>
    <row r="86" spans="1:8" x14ac:dyDescent="0.2">
      <c r="A86" t="s">
        <v>156</v>
      </c>
      <c r="B86" s="13">
        <f t="shared" si="0"/>
        <v>44969</v>
      </c>
      <c r="C86" s="11">
        <v>7</v>
      </c>
      <c r="D86" s="8">
        <v>2.3336214347450301</v>
      </c>
      <c r="E86" s="8">
        <v>4.3010752688172049</v>
      </c>
      <c r="F86" s="8">
        <v>7.6762037683182145</v>
      </c>
      <c r="G86" s="8">
        <v>0.9375</v>
      </c>
      <c r="H86" s="8">
        <v>0.92204526404023457</v>
      </c>
    </row>
    <row r="87" spans="1:8" x14ac:dyDescent="0.2">
      <c r="A87" t="s">
        <v>156</v>
      </c>
      <c r="B87" s="13">
        <f t="shared" si="0"/>
        <v>44976</v>
      </c>
      <c r="C87" s="11">
        <v>8</v>
      </c>
      <c r="D87" s="8">
        <v>2.9335634167385676</v>
      </c>
      <c r="E87" s="8">
        <v>2.6315789473684208</v>
      </c>
      <c r="F87" s="8">
        <v>6.8663257852447037</v>
      </c>
      <c r="G87" s="8">
        <v>1.4666666666666666</v>
      </c>
      <c r="H87" s="8">
        <v>0.99937539038101186</v>
      </c>
    </row>
    <row r="88" spans="1:8" x14ac:dyDescent="0.2">
      <c r="A88" t="s">
        <v>156</v>
      </c>
      <c r="B88" s="13">
        <f t="shared" si="0"/>
        <v>44983</v>
      </c>
      <c r="C88" s="11">
        <v>9</v>
      </c>
      <c r="D88" s="8">
        <v>1.956521739130435</v>
      </c>
      <c r="E88" s="8">
        <v>3.1088082901554404</v>
      </c>
      <c r="F88" s="8">
        <v>5.3254437869822491</v>
      </c>
      <c r="G88" s="8">
        <v>1.0093167701863355</v>
      </c>
      <c r="H88" s="8">
        <v>0.66298342541436461</v>
      </c>
    </row>
    <row r="89" spans="1:8" x14ac:dyDescent="0.2">
      <c r="A89" t="s">
        <v>156</v>
      </c>
      <c r="B89" s="13">
        <f t="shared" si="0"/>
        <v>44990</v>
      </c>
      <c r="C89" s="11">
        <v>10</v>
      </c>
      <c r="D89" s="8">
        <v>2.4475524475524475</v>
      </c>
      <c r="E89" s="8">
        <v>3.5714285714285712</v>
      </c>
      <c r="F89" s="8">
        <v>5.9722222222222223</v>
      </c>
      <c r="G89" s="8">
        <v>1.0342598577892694</v>
      </c>
      <c r="H89" s="8">
        <v>0.50715990453460624</v>
      </c>
    </row>
    <row r="90" spans="1:8" x14ac:dyDescent="0.2">
      <c r="A90" t="s">
        <v>156</v>
      </c>
      <c r="B90" s="13">
        <f t="shared" si="0"/>
        <v>44997</v>
      </c>
      <c r="C90" s="11">
        <v>11</v>
      </c>
      <c r="D90" s="8">
        <v>2.7027027027027026</v>
      </c>
      <c r="E90" s="8">
        <v>3.1380753138075312</v>
      </c>
      <c r="F90" s="8">
        <v>5.3818181818181818</v>
      </c>
      <c r="G90" s="8">
        <v>1.4973958333333335</v>
      </c>
      <c r="H90" s="8">
        <v>0.74395536267823936</v>
      </c>
    </row>
    <row r="91" spans="1:8" x14ac:dyDescent="0.2">
      <c r="A91" t="s">
        <v>156</v>
      </c>
      <c r="B91" s="13">
        <f t="shared" si="0"/>
        <v>45004</v>
      </c>
      <c r="C91" s="11">
        <v>12</v>
      </c>
      <c r="D91" s="8">
        <v>1.9791666666666665</v>
      </c>
      <c r="E91" s="8">
        <v>3.1476997578692498</v>
      </c>
      <c r="F91" s="8">
        <v>4.6811945117029863</v>
      </c>
      <c r="G91" s="8">
        <v>0.70671378091872794</v>
      </c>
      <c r="H91" s="8">
        <v>0.4157339302846178</v>
      </c>
    </row>
    <row r="92" spans="1:8" x14ac:dyDescent="0.2">
      <c r="A92" t="s">
        <v>156</v>
      </c>
      <c r="B92" s="13">
        <f t="shared" si="0"/>
        <v>45011</v>
      </c>
      <c r="C92" s="11">
        <v>13</v>
      </c>
      <c r="D92" s="8">
        <v>1.9507186858316223</v>
      </c>
      <c r="E92" s="8">
        <v>3.1662269129287601</v>
      </c>
      <c r="F92" s="8">
        <v>4.8736462093862816</v>
      </c>
      <c r="G92" s="8">
        <v>1.2839879154078551</v>
      </c>
      <c r="H92" s="8">
        <v>0.28449502133712662</v>
      </c>
    </row>
    <row r="93" spans="1:8" x14ac:dyDescent="0.2">
      <c r="A93" t="s">
        <v>156</v>
      </c>
      <c r="B93" s="13">
        <f t="shared" si="0"/>
        <v>45018</v>
      </c>
      <c r="C93" s="11">
        <v>14</v>
      </c>
      <c r="D93" s="8">
        <v>1.0012515644555695</v>
      </c>
      <c r="E93" s="8">
        <v>2.6058631921824107</v>
      </c>
      <c r="F93" s="8">
        <v>4.9000000000000004</v>
      </c>
      <c r="G93" s="8">
        <v>0.58626465661641536</v>
      </c>
      <c r="H93" s="8">
        <v>0.49281314168377827</v>
      </c>
    </row>
    <row r="94" spans="1:8" x14ac:dyDescent="0.2">
      <c r="A94" t="s">
        <v>156</v>
      </c>
      <c r="B94" s="13">
        <f t="shared" si="0"/>
        <v>45025</v>
      </c>
      <c r="C94" s="11">
        <v>15</v>
      </c>
      <c r="D94" s="8">
        <v>1.3349514563106795</v>
      </c>
      <c r="E94" s="8">
        <v>1.107011070110701</v>
      </c>
      <c r="F94" s="8">
        <v>3.6238981390793339</v>
      </c>
      <c r="G94" s="8">
        <v>1.2511170688114388</v>
      </c>
      <c r="H94" s="8">
        <v>0.21061499578770007</v>
      </c>
    </row>
    <row r="95" spans="1:8" x14ac:dyDescent="0.2">
      <c r="A95" t="s">
        <v>156</v>
      </c>
      <c r="B95" s="13">
        <f t="shared" si="0"/>
        <v>45032</v>
      </c>
      <c r="C95" s="11">
        <v>16</v>
      </c>
      <c r="D95" s="8">
        <v>1.1142061281337048</v>
      </c>
      <c r="E95" s="8">
        <v>0.61728395061728392</v>
      </c>
      <c r="F95" s="8">
        <v>3.2407407407407405</v>
      </c>
      <c r="G95" s="8">
        <v>0.48685491723466412</v>
      </c>
      <c r="H95" s="8">
        <v>0.19920318725099601</v>
      </c>
    </row>
    <row r="96" spans="1:8" x14ac:dyDescent="0.2">
      <c r="A96" t="s">
        <v>156</v>
      </c>
      <c r="B96" s="13">
        <f t="shared" si="0"/>
        <v>45039</v>
      </c>
      <c r="C96" s="11">
        <v>17</v>
      </c>
      <c r="D96" s="8">
        <v>1.3831258644536653</v>
      </c>
      <c r="E96" s="8">
        <v>1.4705882352941175</v>
      </c>
      <c r="F96" s="8">
        <v>2.5</v>
      </c>
      <c r="G96" s="8">
        <v>0.73059360730593603</v>
      </c>
      <c r="H96" s="8">
        <v>0.3948667324777887</v>
      </c>
    </row>
    <row r="97" spans="1:9" x14ac:dyDescent="0.2">
      <c r="A97" t="s">
        <v>156</v>
      </c>
      <c r="B97" s="13">
        <f t="shared" si="0"/>
        <v>45046</v>
      </c>
      <c r="C97" s="11">
        <v>18</v>
      </c>
      <c r="D97" s="8">
        <v>1.0071942446043165</v>
      </c>
      <c r="E97" s="8">
        <v>2.8469750889679712</v>
      </c>
      <c r="F97" s="8">
        <v>1.96319018404908</v>
      </c>
      <c r="G97" s="8">
        <v>0.3105590062111801</v>
      </c>
      <c r="H97" s="8">
        <v>0.48192771084337355</v>
      </c>
    </row>
    <row r="98" spans="1:9" x14ac:dyDescent="0.2">
      <c r="A98" t="s">
        <v>156</v>
      </c>
      <c r="B98" s="13">
        <f t="shared" si="0"/>
        <v>45053</v>
      </c>
      <c r="C98" s="11">
        <v>19</v>
      </c>
      <c r="D98" s="8">
        <v>0.41152263374485598</v>
      </c>
      <c r="E98" s="8">
        <v>0.57471264367816088</v>
      </c>
      <c r="F98" s="8">
        <v>1.9653179190751446</v>
      </c>
      <c r="G98" s="8">
        <v>0.18181818181818182</v>
      </c>
      <c r="H98" s="8">
        <v>0.19579050416054822</v>
      </c>
    </row>
    <row r="99" spans="1:9" x14ac:dyDescent="0.2">
      <c r="A99" t="s">
        <v>156</v>
      </c>
      <c r="B99" s="13">
        <f t="shared" si="0"/>
        <v>45060</v>
      </c>
      <c r="C99" s="11">
        <v>20</v>
      </c>
      <c r="D99" s="8">
        <v>0.62794348508634223</v>
      </c>
      <c r="E99" s="8">
        <v>0.33444816053511706</v>
      </c>
      <c r="F99" s="8">
        <v>1.0191082802547771</v>
      </c>
      <c r="G99" s="8">
        <v>0.4</v>
      </c>
      <c r="H99" s="8">
        <v>5.9206631142687975E-2</v>
      </c>
    </row>
    <row r="100" spans="1:9" x14ac:dyDescent="0.2">
      <c r="A100" t="s">
        <v>156</v>
      </c>
      <c r="B100" s="13">
        <f t="shared" si="0"/>
        <v>45067</v>
      </c>
      <c r="C100" s="11">
        <v>21</v>
      </c>
      <c r="D100" s="8">
        <v>0.78125</v>
      </c>
      <c r="E100" s="8">
        <v>0.35335689045936397</v>
      </c>
      <c r="F100" s="8">
        <v>1.2211668928086838</v>
      </c>
      <c r="G100" s="8">
        <v>0.5714285714285714</v>
      </c>
      <c r="H100" s="8">
        <v>0.32404406999351915</v>
      </c>
    </row>
    <row r="101" spans="1:9" x14ac:dyDescent="0.2">
      <c r="A101" t="s">
        <v>156</v>
      </c>
      <c r="B101" s="13">
        <f t="shared" si="0"/>
        <v>45074</v>
      </c>
      <c r="C101" s="11">
        <v>22</v>
      </c>
      <c r="D101" s="8">
        <v>0.16501650165016502</v>
      </c>
      <c r="E101" s="8">
        <v>0.45045045045045046</v>
      </c>
      <c r="F101" s="8">
        <v>1.2139605462822458</v>
      </c>
      <c r="G101" s="8">
        <v>0.23474178403755869</v>
      </c>
      <c r="H101" s="8">
        <v>0.24193548387096775</v>
      </c>
    </row>
    <row r="102" spans="1:9" x14ac:dyDescent="0.2">
      <c r="A102" t="s">
        <v>156</v>
      </c>
      <c r="B102" s="13">
        <f t="shared" si="0"/>
        <v>45081</v>
      </c>
      <c r="C102" s="11">
        <v>23</v>
      </c>
      <c r="D102" s="8">
        <v>0.40080160320641278</v>
      </c>
      <c r="E102" s="8">
        <v>0</v>
      </c>
      <c r="F102" s="8">
        <v>0</v>
      </c>
      <c r="G102" s="8">
        <v>0.15698587127158556</v>
      </c>
      <c r="H102" s="8">
        <v>0.41806020066889632</v>
      </c>
    </row>
    <row r="103" spans="1:9" x14ac:dyDescent="0.2">
      <c r="A103" t="s">
        <v>156</v>
      </c>
      <c r="B103" s="13">
        <f t="shared" si="0"/>
        <v>45088</v>
      </c>
      <c r="C103" s="11">
        <v>24</v>
      </c>
      <c r="D103" s="8">
        <v>0.20449897750511251</v>
      </c>
      <c r="E103" s="8">
        <v>0.46511627906976744</v>
      </c>
      <c r="F103" s="8">
        <v>0.6932409012131715</v>
      </c>
      <c r="G103" s="8">
        <v>0.30075187969924816</v>
      </c>
      <c r="H103" s="8">
        <v>0.52631578947368418</v>
      </c>
    </row>
    <row r="104" spans="1:9" x14ac:dyDescent="0.2">
      <c r="A104" t="s">
        <v>156</v>
      </c>
      <c r="B104" s="13">
        <f t="shared" si="0"/>
        <v>45095</v>
      </c>
      <c r="C104" s="11">
        <v>25</v>
      </c>
      <c r="D104" s="8">
        <v>0.63559322033898313</v>
      </c>
      <c r="E104" s="8">
        <v>0</v>
      </c>
      <c r="F104" s="8">
        <v>0.68376068376068377</v>
      </c>
      <c r="G104" s="8">
        <v>0.62015503875968991</v>
      </c>
      <c r="H104" s="8">
        <v>0.49407114624505932</v>
      </c>
    </row>
    <row r="105" spans="1:9" ht="17" thickBot="1" x14ac:dyDescent="0.25">
      <c r="A105" t="s">
        <v>156</v>
      </c>
      <c r="B105" s="13">
        <f t="shared" si="0"/>
        <v>45102</v>
      </c>
      <c r="C105" s="12">
        <v>26</v>
      </c>
      <c r="D105" s="8">
        <v>0</v>
      </c>
      <c r="E105" s="8">
        <v>0</v>
      </c>
      <c r="F105" s="8">
        <v>1.0504201680672269</v>
      </c>
      <c r="G105" s="8">
        <v>0.18214936247723132</v>
      </c>
      <c r="H105" s="8">
        <v>0.11037527593818984</v>
      </c>
      <c r="I105" s="9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Hay</dc:creator>
  <cp:lastModifiedBy>James Hay</cp:lastModifiedBy>
  <dcterms:created xsi:type="dcterms:W3CDTF">2025-11-07T21:59:42Z</dcterms:created>
  <dcterms:modified xsi:type="dcterms:W3CDTF">2025-11-07T22:07:42Z</dcterms:modified>
</cp:coreProperties>
</file>